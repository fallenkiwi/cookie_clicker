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hirata\cookie_clicker\"/>
    </mc:Choice>
  </mc:AlternateContent>
  <xr:revisionPtr revIDLastSave="0" documentId="13_ncr:1_{82EB5543-BB61-4F1A-A71B-1F6E26015188}" xr6:coauthVersionLast="47" xr6:coauthVersionMax="47" xr10:uidLastSave="{00000000-0000-0000-0000-000000000000}"/>
  <bookViews>
    <workbookView xWindow="-103" yWindow="-103" windowWidth="33120" windowHeight="18000" xr2:uid="{289D7D3E-3098-43BA-82DF-C39CF4091271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" l="1"/>
  <c r="K12" i="1" s="1"/>
  <c r="K10" i="1"/>
  <c r="K9" i="1"/>
  <c r="K6" i="1"/>
  <c r="K8" i="1"/>
  <c r="K11" i="1"/>
  <c r="F13" i="1"/>
  <c r="F16" i="1"/>
  <c r="E16" i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E14" i="1"/>
  <c r="F14" i="1" s="1"/>
  <c r="E15" i="1"/>
  <c r="F15" i="1" s="1"/>
  <c r="E5" i="1"/>
  <c r="F5" i="1" s="1"/>
  <c r="I7" i="1"/>
  <c r="K7" i="1" s="1"/>
  <c r="I5" i="1"/>
  <c r="K5" i="1" s="1"/>
</calcChain>
</file>

<file path=xl/sharedStrings.xml><?xml version="1.0" encoding="utf-8"?>
<sst xmlns="http://schemas.openxmlformats.org/spreadsheetml/2006/main" count="32" uniqueCount="29">
  <si>
    <t>name</t>
  </si>
  <si>
    <t>cursor</t>
  </si>
  <si>
    <t>grandma</t>
  </si>
  <si>
    <t>mine</t>
  </si>
  <si>
    <t>factory</t>
  </si>
  <si>
    <t>bank</t>
  </si>
  <si>
    <t>temple</t>
  </si>
  <si>
    <t>wizard</t>
  </si>
  <si>
    <t>shipment</t>
  </si>
  <si>
    <t>alchemy</t>
  </si>
  <si>
    <t>portal</t>
  </si>
  <si>
    <t>count</t>
  </si>
  <si>
    <t>price</t>
  </si>
  <si>
    <t>cookies/s</t>
  </si>
  <si>
    <t>bang/buck</t>
  </si>
  <si>
    <t>upgrade</t>
  </si>
  <si>
    <t>macaroons</t>
  </si>
  <si>
    <t>engineers</t>
  </si>
  <si>
    <t>empire</t>
  </si>
  <si>
    <t>total cookies/s:</t>
  </si>
  <si>
    <t>base price</t>
  </si>
  <si>
    <t>farm</t>
  </si>
  <si>
    <t>time machine</t>
  </si>
  <si>
    <t>bang multiplier:</t>
  </si>
  <si>
    <t>unobtanium mouse</t>
  </si>
  <si>
    <t>snickerdoodles</t>
  </si>
  <si>
    <t>stroopwaffles</t>
  </si>
  <si>
    <t>insane oatlings</t>
  </si>
  <si>
    <t>luck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</si>
</sst>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8" fontId="0" fillId="0" borderId="0" xfId="0" applyNumberFormat="1"/>
    <xf numFmtId="4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2CCA-EAD1-4EF0-8F91-4947BB9CBD37}">
  <dimension ref="A1:K16"/>
  <sheetViews>
    <sheetView tabSelected="1" workbookViewId="0">
      <pane ySplit="4" topLeftCell="A5" activePane="bottomLeft" state="frozen"/>
      <selection pane="bottomLeft" activeCell="J18" sqref="J18"/>
    </sheetView>
  </sheetViews>
  <sheetFormatPr defaultRowHeight="14.6" x14ac:dyDescent="0.4"/>
  <cols>
    <col min="1" max="1" width="13.3828125" bestFit="1" customWidth="1"/>
    <col min="2" max="2" width="11.53515625" style="1" bestFit="1" customWidth="1"/>
    <col min="3" max="3" width="17.765625" style="1" bestFit="1" customWidth="1"/>
    <col min="4" max="4" width="10.53515625" style="1" bestFit="1" customWidth="1"/>
    <col min="5" max="5" width="17.765625" style="1" bestFit="1" customWidth="1"/>
    <col min="6" max="6" width="9.23046875" bestFit="1" customWidth="1"/>
    <col min="8" max="8" width="16.3828125" bestFit="1" customWidth="1"/>
    <col min="9" max="9" width="13.15234375" style="1" bestFit="1" customWidth="1"/>
    <col min="10" max="10" width="18.765625" style="1" bestFit="1" customWidth="1"/>
    <col min="11" max="11" width="9.23046875" style="1"/>
  </cols>
  <sheetData>
    <row r="1" spans="1:11" x14ac:dyDescent="0.4">
      <c r="A1" t="s">
        <v>19</v>
      </c>
      <c r="B1" s="1">
        <v>915125000</v>
      </c>
      <c r="F1" s="1"/>
    </row>
    <row r="2" spans="1:11" x14ac:dyDescent="0.4">
      <c r="A2" t="s">
        <v>23</v>
      </c>
      <c r="B2" s="1">
        <v>10000000</v>
      </c>
    </row>
    <row r="4" spans="1:11" x14ac:dyDescent="0.4">
      <c r="A4" t="s">
        <v>0</v>
      </c>
      <c r="B4" s="1" t="s">
        <v>11</v>
      </c>
      <c r="C4" s="1" t="s">
        <v>20</v>
      </c>
      <c r="D4" s="1" t="s">
        <v>13</v>
      </c>
      <c r="E4" s="1" t="s">
        <v>12</v>
      </c>
      <c r="F4" t="s">
        <v>14</v>
      </c>
      <c r="H4" t="s">
        <v>15</v>
      </c>
      <c r="I4" s="1" t="s">
        <v>13</v>
      </c>
      <c r="J4" s="1" t="s">
        <v>12</v>
      </c>
      <c r="K4" s="1" t="s">
        <v>14</v>
      </c>
    </row>
    <row r="5" spans="1:11" x14ac:dyDescent="0.4">
      <c r="A5" t="s">
        <v>1</v>
      </c>
      <c r="B5" s="1">
        <v>136</v>
      </c>
      <c r="C5" s="1">
        <v>15</v>
      </c>
      <c r="D5" s="1">
        <v>7265</v>
      </c>
      <c r="E5" s="1">
        <f>C5*1.15^B5</f>
        <v>2697724195.9171386</v>
      </c>
      <c r="F5" s="2">
        <f>D5/E5*$B$2</f>
        <v>26.930106535705871</v>
      </c>
      <c r="H5" t="s">
        <v>25</v>
      </c>
      <c r="I5" s="1">
        <f>$B$1*0.02</f>
        <v>18302500</v>
      </c>
      <c r="J5" s="1">
        <v>5000000000000</v>
      </c>
      <c r="K5" s="2">
        <f>I5/J5*$B$2</f>
        <v>36.604999999999997</v>
      </c>
    </row>
    <row r="6" spans="1:11" x14ac:dyDescent="0.4">
      <c r="A6" t="s">
        <v>2</v>
      </c>
      <c r="B6" s="1">
        <v>150</v>
      </c>
      <c r="C6" s="1">
        <v>100</v>
      </c>
      <c r="D6" s="1">
        <v>741000</v>
      </c>
      <c r="E6" s="1">
        <f t="shared" ref="E6:E16" si="0">C6*1.15^B6</f>
        <v>127255350960.34856</v>
      </c>
      <c r="F6" s="2">
        <f t="shared" ref="F6:F16" si="1">D6/E6*$B$2</f>
        <v>58.229378521842115</v>
      </c>
      <c r="H6" t="s">
        <v>24</v>
      </c>
      <c r="J6" s="1">
        <v>5000000000000</v>
      </c>
      <c r="K6" s="2">
        <f>I6/J6*$B$2</f>
        <v>0</v>
      </c>
    </row>
    <row r="7" spans="1:11" x14ac:dyDescent="0.4">
      <c r="A7" t="s">
        <v>21</v>
      </c>
      <c r="B7" s="1">
        <v>100</v>
      </c>
      <c r="C7" s="1">
        <v>1100</v>
      </c>
      <c r="D7" s="1">
        <v>1401</v>
      </c>
      <c r="E7" s="1">
        <f t="shared" si="0"/>
        <v>1291744795.7703052</v>
      </c>
      <c r="F7" s="2">
        <f t="shared" si="1"/>
        <v>10.845795582745451</v>
      </c>
      <c r="H7" t="s">
        <v>26</v>
      </c>
      <c r="I7" s="1">
        <f>$B$1*0.02</f>
        <v>18302500</v>
      </c>
      <c r="J7" s="1">
        <v>10000000000000</v>
      </c>
      <c r="K7" s="2">
        <f>I7/J7*$B$2</f>
        <v>18.302499999999998</v>
      </c>
    </row>
    <row r="8" spans="1:11" x14ac:dyDescent="0.4">
      <c r="A8" t="s">
        <v>3</v>
      </c>
      <c r="B8" s="1">
        <v>84</v>
      </c>
      <c r="C8" s="1">
        <v>12000</v>
      </c>
      <c r="D8" s="1">
        <v>2973</v>
      </c>
      <c r="E8" s="1">
        <f t="shared" si="0"/>
        <v>1505912838.1931782</v>
      </c>
      <c r="F8" s="2">
        <f t="shared" si="1"/>
        <v>19.74217846211511</v>
      </c>
      <c r="H8" t="s">
        <v>16</v>
      </c>
      <c r="J8" s="1">
        <v>50000000000000</v>
      </c>
      <c r="K8" s="2">
        <f>I8/J8*$B$2</f>
        <v>0</v>
      </c>
    </row>
    <row r="9" spans="1:11" x14ac:dyDescent="0.4">
      <c r="A9" t="s">
        <v>4</v>
      </c>
      <c r="B9" s="1">
        <v>76</v>
      </c>
      <c r="C9" s="1">
        <v>130000</v>
      </c>
      <c r="D9" s="1">
        <v>14339</v>
      </c>
      <c r="E9" s="1">
        <f t="shared" si="0"/>
        <v>5333093762.3498888</v>
      </c>
      <c r="F9" s="2">
        <f t="shared" si="1"/>
        <v>26.88683274468044</v>
      </c>
      <c r="H9" t="s">
        <v>27</v>
      </c>
      <c r="I9" s="1">
        <v>2000000000</v>
      </c>
      <c r="J9" s="1">
        <v>50000000000000</v>
      </c>
      <c r="K9" s="2">
        <f>I9/J9*$B$2</f>
        <v>400.00000000000006</v>
      </c>
    </row>
    <row r="10" spans="1:11" x14ac:dyDescent="0.4">
      <c r="A10" t="s">
        <v>5</v>
      </c>
      <c r="B10" s="1">
        <v>64</v>
      </c>
      <c r="C10" s="1">
        <v>1400000</v>
      </c>
      <c r="D10" s="1">
        <v>71535</v>
      </c>
      <c r="E10" s="1">
        <f t="shared" si="0"/>
        <v>10734697688.605724</v>
      </c>
      <c r="F10" s="2">
        <f t="shared" si="1"/>
        <v>66.639044782723929</v>
      </c>
      <c r="H10" t="s">
        <v>28</v>
      </c>
      <c r="J10" s="1">
        <v>77777777777777</v>
      </c>
      <c r="K10" s="2">
        <f>I10/J10*$B$2</f>
        <v>0</v>
      </c>
    </row>
    <row r="11" spans="1:11" x14ac:dyDescent="0.4">
      <c r="A11" t="s">
        <v>6</v>
      </c>
      <c r="B11" s="1">
        <v>57</v>
      </c>
      <c r="C11" s="1">
        <v>20000000</v>
      </c>
      <c r="D11" s="1">
        <v>379577</v>
      </c>
      <c r="E11" s="1">
        <f t="shared" si="0"/>
        <v>57651006764.624298</v>
      </c>
      <c r="F11" s="2">
        <f t="shared" si="1"/>
        <v>65.84048073084395</v>
      </c>
      <c r="H11" t="s">
        <v>17</v>
      </c>
      <c r="J11" s="1">
        <v>90000000000000</v>
      </c>
      <c r="K11" s="2">
        <f>I11/J11*$B$2</f>
        <v>0</v>
      </c>
    </row>
    <row r="12" spans="1:11" x14ac:dyDescent="0.4">
      <c r="A12" t="s">
        <v>7</v>
      </c>
      <c r="B12" s="1">
        <v>42</v>
      </c>
      <c r="C12" s="1">
        <v>330000000</v>
      </c>
      <c r="D12" s="1">
        <v>1035000</v>
      </c>
      <c r="E12" s="1">
        <f t="shared" si="0"/>
        <v>116902348165.47995</v>
      </c>
      <c r="F12" s="2">
        <f t="shared" si="1"/>
        <v>88.535432884112481</v>
      </c>
      <c r="H12" t="s">
        <v>18</v>
      </c>
      <c r="I12" s="1">
        <f>$B$1*0.02</f>
        <v>18302500</v>
      </c>
      <c r="J12" s="1">
        <v>100000000000000</v>
      </c>
      <c r="K12" s="2">
        <f>I12/J12*$B$2</f>
        <v>1.8302500000000002</v>
      </c>
    </row>
    <row r="13" spans="1:11" x14ac:dyDescent="0.4">
      <c r="A13" t="s">
        <v>8</v>
      </c>
      <c r="B13" s="1">
        <v>32</v>
      </c>
      <c r="C13" s="1">
        <v>5100000000</v>
      </c>
      <c r="D13" s="1">
        <v>5965000</v>
      </c>
      <c r="E13" s="1">
        <f t="shared" si="0"/>
        <v>446581848905.53046</v>
      </c>
      <c r="F13" s="2">
        <f t="shared" si="1"/>
        <v>133.57013982137531</v>
      </c>
    </row>
    <row r="14" spans="1:11" x14ac:dyDescent="0.4">
      <c r="A14" t="s">
        <v>9</v>
      </c>
      <c r="B14" s="1">
        <v>18</v>
      </c>
      <c r="C14" s="1">
        <v>75000000000</v>
      </c>
      <c r="D14" s="1">
        <v>18100000</v>
      </c>
      <c r="E14" s="1">
        <f t="shared" si="0"/>
        <v>928159020393.91785</v>
      </c>
      <c r="F14" s="2">
        <f t="shared" si="1"/>
        <v>195.00968694263423</v>
      </c>
    </row>
    <row r="15" spans="1:11" x14ac:dyDescent="0.4">
      <c r="A15" t="s">
        <v>10</v>
      </c>
      <c r="B15" s="1">
        <v>6</v>
      </c>
      <c r="C15" s="1">
        <v>1000000000000</v>
      </c>
      <c r="D15" s="1">
        <v>48664000</v>
      </c>
      <c r="E15" s="1">
        <f t="shared" si="0"/>
        <v>2313060765624.999</v>
      </c>
      <c r="F15" s="2">
        <f t="shared" si="1"/>
        <v>210.38790127439984</v>
      </c>
    </row>
    <row r="16" spans="1:11" x14ac:dyDescent="0.4">
      <c r="A16" t="s">
        <v>22</v>
      </c>
      <c r="B16" s="1">
        <v>0</v>
      </c>
      <c r="C16" s="1">
        <v>14000000000000</v>
      </c>
      <c r="D16" s="1">
        <v>65000000</v>
      </c>
      <c r="E16" s="1">
        <f t="shared" si="0"/>
        <v>14000000000000</v>
      </c>
      <c r="F16" s="2">
        <f t="shared" si="1"/>
        <v>46.428571428571431</v>
      </c>
    </row>
  </sheetData>
  <conditionalFormatting sqref="K18:K1048576 F1:F1048576 K1:K1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CA61B-BB60-4F32-85E9-F53C79C13064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B254-2FD7-4C59-8390-6FE84D6FBBE2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5095E-BE20-468B-A676-334B29D1EB1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FFE7C-C524-4F77-8124-ED9760D58E3A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447B8-CE1A-4807-A7E7-4214CD4A042E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72B2-3FFE-40D0-9DA6-12562019AE8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0C14-C972-4CCB-92C1-0FBE9ECC9C6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4B580-0274-4756-AF81-97BA34077480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F1E7F-A4F1-482E-9769-28F7F6CA1812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Hirata</dc:creator>
  <cp:lastModifiedBy>Jonathan Hirata</cp:lastModifiedBy>
  <dcterms:created xsi:type="dcterms:W3CDTF">2026-03-24T19:23:00Z</dcterms:created>
  <dcterms:modified xsi:type="dcterms:W3CDTF">2026-03-25T02:37:37Z</dcterms:modified>
</cp:coreProperties>
</file>